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abdulle/Downloads/LLGWeb/"/>
    </mc:Choice>
  </mc:AlternateContent>
  <xr:revisionPtr revIDLastSave="0" documentId="13_ncr:1_{3FA2E85A-C5AD-7E42-94F5-F31F95DE3D37}" xr6:coauthVersionLast="47" xr6:coauthVersionMax="47" xr10:uidLastSave="{00000000-0000-0000-0000-000000000000}"/>
  <bookViews>
    <workbookView xWindow="0" yWindow="500" windowWidth="28800" windowHeight="18000" xr2:uid="{46797641-2EF7-CA4A-986B-064AF1BA0B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<sst xmlns="http://schemas.openxmlformats.org/spreadsheetml/2006/main" count="197" uniqueCount="160">
  <si>
    <t>No</t>
  </si>
  <si>
    <t>Activity Description</t>
  </si>
  <si>
    <t>Duration</t>
  </si>
  <si>
    <t>Donor</t>
  </si>
  <si>
    <t>Emergency Water Trucking Scheme and public Health Promotion</t>
  </si>
  <si>
    <t xml:space="preserve">Diaspora community from Gedo region in England and Australia  </t>
  </si>
  <si>
    <t>Provision of water facilities at Damasa of Elwak District in Gedo region</t>
  </si>
  <si>
    <t>Oxfam GB</t>
  </si>
  <si>
    <t>Emergency water trucking</t>
  </si>
  <si>
    <t>Concern worldwide</t>
  </si>
  <si>
    <t>ECHO Supported Emergency Response Project (GABAAD)</t>
  </si>
  <si>
    <t>Concern worldwide/ECHO</t>
  </si>
  <si>
    <t>NMFA Supported Drought Response Project (HADAF)</t>
  </si>
  <si>
    <t>ECHO Supported Emergency Response Project (HOPE)</t>
  </si>
  <si>
    <t>Humanitarian Assistance for Populations in Crisis in Gedo region, southern Somalia</t>
  </si>
  <si>
    <t>Concern worldwide/Trocaire</t>
  </si>
  <si>
    <t>Emergency Response Somalia 2012</t>
  </si>
  <si>
    <t>Enhancing Peace building activities through strengthening the role of local district peace committee in conflict management, Gherille, Gedo region (Grant Number:  13-DFID-1047)</t>
  </si>
  <si>
    <t>PACT /DFID</t>
  </si>
  <si>
    <t>Building Resilience Community in Somalia (BRCiS)</t>
  </si>
  <si>
    <t>Concern Worldwide/DFID</t>
  </si>
  <si>
    <t>Emergency Assistance to Vulnerable Population in Southern Somalia</t>
  </si>
  <si>
    <t>Concern Worldwide/ECHO</t>
  </si>
  <si>
    <t>Emergency Assistance to IDPs, Returnees and Vulnerable Host Communities in Southern Somalia</t>
  </si>
  <si>
    <t>Emergency Assistance For Vulnerable Populations In South Central Somalia</t>
  </si>
  <si>
    <t>Humanitarian Aid Response for Somalis affected by Drought and Displacement [HARSAD], Somalia</t>
  </si>
  <si>
    <t>IRF4 (Drought Response)</t>
  </si>
  <si>
    <t>Rapid Emergency Actions for Communities and Households affect by Drought and Displacement (REACH).</t>
  </si>
  <si>
    <t>Emergency Supply of Clean and Safe Water to 6156 HH (36,936 individuals) living in 18 villages and Rehabilitation of Borehole in Gedo Region, Juabaland State of Somalia.</t>
  </si>
  <si>
    <t>IOM Somalia</t>
  </si>
  <si>
    <t>Drought Response in Somalia</t>
  </si>
  <si>
    <t>Drought Response in Somalia (IRF5)</t>
  </si>
  <si>
    <t>Rapid Emergency Actions for Communities and Households affected by drought and displacement’ (REACH</t>
  </si>
  <si>
    <t>Non-Consulting services for drought response and resilience Ref No. NRC/SFF/NC/2017/003</t>
  </si>
  <si>
    <t>Concern Worldwide/World Bank</t>
  </si>
  <si>
    <t>Durable Solution (EUTF)</t>
  </si>
  <si>
    <t>NRC/Concern Worldwide/EU</t>
  </si>
  <si>
    <t xml:space="preserve">Drought Response Project in Somalia.  </t>
  </si>
  <si>
    <t xml:space="preserve">Concern Worldwide/DFID </t>
  </si>
  <si>
    <t>BRCiS SHARP Uplift Project</t>
  </si>
  <si>
    <t>NRC/Concern Worldwide/DFID</t>
  </si>
  <si>
    <t xml:space="preserve">Building resilience communities in Somalia (BRCiS II) </t>
  </si>
  <si>
    <t xml:space="preserve">Somali Humanitarian and Resilience Program (SHARP) </t>
  </si>
  <si>
    <t>01/10/2019- 31/03/2020</t>
  </si>
  <si>
    <t xml:space="preserve">Cafimaad Plus in Banadir and Gedo and Lower Shabele regions </t>
  </si>
  <si>
    <t>01/05/2020-31/01/2023</t>
  </si>
  <si>
    <t>Concern/ECHO</t>
  </si>
  <si>
    <t xml:space="preserve"> Emergency Assistance to Displaced Populations due Armed clashes in Belet Hawo district </t>
  </si>
  <si>
    <t>07/02/2021-23/01/2021</t>
  </si>
  <si>
    <t>Concern/Start Fund</t>
  </si>
  <si>
    <t>Increasing Access safe to water, emergency sanitation facilities, and hygiene promotion for displaced vulnerable people in IDP settlements in Bardhere district, Gedo region Somalia</t>
  </si>
  <si>
    <t>01/09/2021-31/08/2022</t>
  </si>
  <si>
    <t>SHF</t>
  </si>
  <si>
    <t>Building Resilience communities in Somalia BRCiS program: A Nutrition Sensitive Resilience Building program</t>
  </si>
  <si>
    <t>01/12/2021-31/03/2022</t>
  </si>
  <si>
    <t xml:space="preserve">Concern/ USAID Top Up </t>
  </si>
  <si>
    <t xml:space="preserve">Drought Response action through Cafimaad Plus Consortium </t>
  </si>
  <si>
    <t>01/01/2022-31/03/2022</t>
  </si>
  <si>
    <t>Multisectoral humanitarian response to the detreating nutrition situation, focusing on severely affected crisis contexts in sub-Saharan Africa</t>
  </si>
  <si>
    <t>01/12/2021-30/06/2024</t>
  </si>
  <si>
    <t>ACF/GFFO</t>
  </si>
  <si>
    <t xml:space="preserve">BRCiS-IRF Project Drought Scale-Up </t>
  </si>
  <si>
    <t>03/01/2022-31/08/2022</t>
  </si>
  <si>
    <t xml:space="preserve">Concern/FCDO </t>
  </si>
  <si>
    <t xml:space="preserve">Somali Recovery Crises Response </t>
  </si>
  <si>
    <t>01/04/2022-30/09/2022</t>
  </si>
  <si>
    <t>Concern/WB</t>
  </si>
  <si>
    <t>Humanitarian Assistance to Drought and Conflict Displaced Households in Bardere Somalia.</t>
  </si>
  <si>
    <t>01/03/2022-31/05/2022</t>
  </si>
  <si>
    <t>Concern CEO Fund</t>
  </si>
  <si>
    <t>Coordinated Implementation of Multipurpose Cash Assistance to Support Drought and Crisis-Affected Somali Households</t>
  </si>
  <si>
    <t>01/04/2022-31/03/2023</t>
  </si>
  <si>
    <t>Concern ECHO</t>
  </si>
  <si>
    <t>Integrated Health and Nutrition Mobile Clinics and Community Level House-To-House IYCF/Hygiene in Belet-hawa District, Gedo Region in Jubaland State of Somalia</t>
  </si>
  <si>
    <t>01/04/2022-31/08/2022</t>
  </si>
  <si>
    <t>Concern GD Fund</t>
  </si>
  <si>
    <t xml:space="preserve"> Emergence Response Fund Scheme </t>
  </si>
  <si>
    <t>01/09/2022-30/11/2022</t>
  </si>
  <si>
    <t>Concern/IRISH AID</t>
  </si>
  <si>
    <t>Building Resilient Communities in Somalia (BRCiS) HARBS Project No: 300978-105,106 and 107; Drought Response</t>
  </si>
  <si>
    <t>01/12/2022-31/09/2023</t>
  </si>
  <si>
    <t>Concern/FCDO</t>
  </si>
  <si>
    <t>Rehabilitation of water facilities at Khadija Haji of B/Hawo district in Gedo region</t>
  </si>
  <si>
    <t>Oxfam GB incoordination with Devcon</t>
  </si>
  <si>
    <t>1/1/2018 - 31/03/2019</t>
  </si>
  <si>
    <t>Sep 2008 - Dec 2008</t>
  </si>
  <si>
    <t>Dec 2008 - Jan 2009</t>
  </si>
  <si>
    <t>Feb 2008 - Mar 2008</t>
  </si>
  <si>
    <t>Jan 2006 - Feb 2006</t>
  </si>
  <si>
    <t>Mar 2009 - Sep 2009</t>
  </si>
  <si>
    <t>Apr 2010 - Nov 2010</t>
  </si>
  <si>
    <t>Mar 2011 - Apr 2011</t>
  </si>
  <si>
    <t>Jan 2011 - Sep 2011</t>
  </si>
  <si>
    <t>Feb 2012 - Dec 2012</t>
  </si>
  <si>
    <t>Apr 2012 - Feb 2013</t>
  </si>
  <si>
    <t>Jun 2013 - Nov 2013</t>
  </si>
  <si>
    <t>Jan 2014 - Dec 2017</t>
  </si>
  <si>
    <t>May 2014 - Feb 2015</t>
  </si>
  <si>
    <t>Apr 2015 - Mar 2016</t>
  </si>
  <si>
    <t>Jun 2015 - Sep 2015</t>
  </si>
  <si>
    <t>Apr 2017 - Mar 2017</t>
  </si>
  <si>
    <t>Jan 2017 - Jul 2017</t>
  </si>
  <si>
    <t>Apr 2017 - Dec 2017</t>
  </si>
  <si>
    <t>Aug 2017 - Dec 2017</t>
  </si>
  <si>
    <t>1/1/2018 - 30/04/2018</t>
  </si>
  <si>
    <t>1/3/2018 - 31/08/2018</t>
  </si>
  <si>
    <t>1/4/2018 - 31/03/2020</t>
  </si>
  <si>
    <t>1/4/2018 - 31/12/2018</t>
  </si>
  <si>
    <t>1/7/2018 - 28/02/2019</t>
  </si>
  <si>
    <t>1/11/2018 - 28/02/2022</t>
  </si>
  <si>
    <t>Budget</t>
  </si>
  <si>
    <t>Outputs:</t>
  </si>
  <si>
    <t>Immediate Food Security:</t>
  </si>
  <si>
    <t>Distribution of Supplementary Food Packages (SFP) to affected households.</t>
  </si>
  <si>
    <t>Restored Water Supply Systems:</t>
  </si>
  <si>
    <t>Rehabilitation of damaged water systems and pipelines.</t>
  </si>
  <si>
    <t>Enhanced Hygiene Awareness:</t>
  </si>
  <si>
    <t>Conducted hygiene promotion campaigns and education sessions.</t>
  </si>
  <si>
    <t>Revitalized Agricultural Livelihoods:</t>
  </si>
  <si>
    <t>Rehabilitation of submerged farmlands and provision of agricultural support.</t>
  </si>
  <si>
    <t>Gender-Inclusive Participation:</t>
  </si>
  <si>
    <t>Participation of men and women in decision-making processes and project activities.</t>
  </si>
  <si>
    <t>Output Indicators:</t>
  </si>
  <si>
    <t>Number of SFPs distributed.</t>
  </si>
  <si>
    <t>Percentage of targeted households receiving SFPs.</t>
  </si>
  <si>
    <t>Number of water systems rehabilitated.</t>
  </si>
  <si>
    <t>Percentage increase in access to clean water.</t>
  </si>
  <si>
    <t>Number of hygiene promotion sessions conducted.</t>
  </si>
  <si>
    <t>Percentage of the population reached through awareness campaigns.</t>
  </si>
  <si>
    <t>Number of submerged farmlands rehabilitated.</t>
  </si>
  <si>
    <t>Percentage increase in agricultural productivity.</t>
  </si>
  <si>
    <t>Percentage of men and women actively engaged in decision-making.</t>
  </si>
  <si>
    <t>Gender-disaggregated participation rates in project activities.</t>
  </si>
  <si>
    <t>Targets:</t>
  </si>
  <si>
    <t>Distribute SFPs to 90% of targeted households within the first month.</t>
  </si>
  <si>
    <t>Rehabilitate 80% of damaged water systems within three months.</t>
  </si>
  <si>
    <t>Conduct hygiene promotion sessions reaching 90% of the population within four months.</t>
  </si>
  <si>
    <t>Rehabilitate 60% of submerged farmlands within the first year.</t>
  </si>
  <si>
    <t>Achieve equal gender representation in decision-making processes and ensure 50% women's participation in project activities.</t>
  </si>
  <si>
    <t>Means of Verification:</t>
  </si>
  <si>
    <t>Distribution records and beneficiary feedback.</t>
  </si>
  <si>
    <t>Engineering reports, GPS coordinates of rehabilitated systems, and community surveys.</t>
  </si>
  <si>
    <t>Attendance registers, educational materials, and community surveys.</t>
  </si>
  <si>
    <t>Agricultural productivity assessments, farmer testimonials, and community feedback.</t>
  </si>
  <si>
    <t>Participation logs, gender-disaggregated data, and community testimonials.</t>
  </si>
  <si>
    <t>- Distribute SFPs to 90% of targeted households within the first month</t>
  </si>
  <si>
    <t>- Distribution records and beneficiary feedback</t>
  </si>
  <si>
    <t xml:space="preserve">Number of SFPs distributed
Percentage of targeted households receiving SFPs	</t>
  </si>
  <si>
    <t>- Rehabilitate 80% of damaged water systems within three months</t>
  </si>
  <si>
    <t>- Engineering reports, GPS coordinates of rehabilitated systems, community surveys</t>
  </si>
  <si>
    <t>Number of water systems rehabilitated
Percentage increase in access to clean water</t>
  </si>
  <si>
    <t>- Conduct hygiene promotion sessions reaching 90% of the population within four months</t>
  </si>
  <si>
    <t>- Attendance registers, educational materials, community surveys</t>
  </si>
  <si>
    <t>- Rehabilitate 60% of submerged farmlands within the first year</t>
  </si>
  <si>
    <t>- Agricultural productivity assessments, farmer testimonials, community feedback</t>
  </si>
  <si>
    <t>- Participation logs, gender-disaggregated data, community testimonials</t>
  </si>
  <si>
    <t>Number of hygiene promotion sessions conducted
Percentage of the population reached through awareness campaigns</t>
  </si>
  <si>
    <t>Number of submerged farmlands rehabilitated
Percentage increase in agricultural productivity</t>
  </si>
  <si>
    <t>Percentage of men and women actively engaged in decision-making
Gender-disaggregated participation rates in project activities</t>
  </si>
  <si>
    <t>Achieve equal gender representation in decision-making processes
Ensure 50% women's participation in project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</si>
</sst>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6"/>
      <color rgb="FF374151"/>
      <name val="Arial"/>
      <family val="2"/>
    </font>
    <font>
      <sz val="16"/>
      <color rgb="FF374151"/>
      <name val="Arial"/>
      <family val="2"/>
    </font>
    <font>
      <i/>
      <sz val="16"/>
      <color rgb="FF374151"/>
      <name val="Arial"/>
      <family val="2"/>
    </font>
    <font>
      <sz val="10.5"/>
      <color rgb="FF374151"/>
      <name val="Arial"/>
      <family val="2"/>
    </font>
    <font>
      <sz val="10.5"/>
      <color rgb="FF37415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2" applyFont="1"/>
    <xf numFmtId="43" fontId="2" fillId="0" borderId="0" xfId="1" applyFont="1"/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44" fontId="4" fillId="0" borderId="1" xfId="2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44" fontId="4" fillId="0" borderId="2" xfId="2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4" fontId="5" fillId="0" borderId="1" xfId="2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4" fontId="3" fillId="2" borderId="1" xfId="2" applyFont="1" applyFill="1" applyBorder="1" applyAlignment="1">
      <alignment horizontal="center" vertical="center" wrapText="1"/>
    </xf>
    <xf numFmtId="0" fontId="7" fillId="0" borderId="1" xfId="0" applyFont="1" applyBorder="1"/>
    <xf numFmtId="0" fontId="0" fillId="0" borderId="1" xfId="0" applyBorder="1"/>
    <xf numFmtId="0" fontId="8" fillId="0" borderId="1" xfId="0" applyFont="1" applyBorder="1"/>
    <xf numFmtId="0" fontId="6" fillId="0" borderId="1" xfId="0" applyFont="1" applyBorder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BCB5-B395-2549-8C1C-C07C88CB12E1}">
  <dimension ref="B1:G45"/>
  <sheetViews>
    <sheetView tabSelected="1" zoomScale="150" workbookViewId="0">
      <selection activeCell="D8" sqref="D8"/>
    </sheetView>
  </sheetViews>
  <sheetFormatPr baseColWidth="10" defaultRowHeight="16" x14ac:dyDescent="0.2"/>
  <cols>
    <col min="1" max="1" width="10.83203125" style="1"/>
    <col min="2" max="2" width="3.1640625" style="14" bestFit="1" customWidth="1"/>
    <col min="3" max="3" width="31.6640625" style="1" customWidth="1"/>
    <col min="4" max="4" width="18" style="2" bestFit="1" customWidth="1"/>
    <col min="5" max="5" width="26.6640625" style="1" bestFit="1" customWidth="1"/>
    <col min="6" max="6" width="12.83203125" style="3" customWidth="1"/>
    <col min="7" max="7" width="14" style="1" bestFit="1" customWidth="1"/>
    <col min="8" max="16384" width="10.83203125" style="1"/>
  </cols>
  <sheetData>
    <row r="1" spans="2:7" x14ac:dyDescent="0.2">
      <c r="F1" s="3">
        <f>SUM(F5:F50)</f>
        <v>17104532.84</v>
      </c>
      <c r="G1" s="4">
        <v>48631532.839999989</v>
      </c>
    </row>
    <row r="4" spans="2:7" s="5" customFormat="1" x14ac:dyDescent="0.2">
      <c r="B4" s="16" t="s">
        <v>0</v>
      </c>
      <c r="C4" s="16" t="s">
        <v>1</v>
      </c>
      <c r="D4" s="16" t="s">
        <v>2</v>
      </c>
      <c r="E4" s="16" t="s">
        <v>3</v>
      </c>
      <c r="F4" s="17" t="s">
        <v>110</v>
      </c>
    </row>
    <row r="5" spans="2:7" ht="28" x14ac:dyDescent="0.2">
      <c r="B5" s="15">
        <v>1</v>
      </c>
      <c r="C5" s="6" t="s">
        <v>4</v>
      </c>
      <c r="D5" s="7" t="s">
        <v>88</v>
      </c>
      <c r="E5" s="6" t="s">
        <v>5</v>
      </c>
      <c r="F5" s="8">
        <v>160000</v>
      </c>
    </row>
    <row r="6" spans="2:7" ht="28" x14ac:dyDescent="0.2">
      <c r="B6" s="15">
        <v>2</v>
      </c>
      <c r="C6" s="6" t="s">
        <v>4</v>
      </c>
      <c r="D6" s="7" t="s">
        <v>87</v>
      </c>
      <c r="E6" s="6" t="s">
        <v>83</v>
      </c>
      <c r="F6" s="8">
        <v>100000</v>
      </c>
    </row>
    <row r="7" spans="2:7" ht="28" x14ac:dyDescent="0.2">
      <c r="B7" s="15">
        <v>3</v>
      </c>
      <c r="C7" s="6" t="s">
        <v>6</v>
      </c>
      <c r="D7" s="7" t="s">
        <v>85</v>
      </c>
      <c r="E7" s="6" t="s">
        <v>7</v>
      </c>
      <c r="F7" s="8">
        <v>22600</v>
      </c>
    </row>
    <row r="8" spans="2:7" ht="28" x14ac:dyDescent="0.2">
      <c r="B8" s="15">
        <v>4</v>
      </c>
      <c r="C8" s="6" t="s">
        <v>82</v>
      </c>
      <c r="D8" s="7" t="s">
        <v>86</v>
      </c>
      <c r="E8" s="6" t="s">
        <v>7</v>
      </c>
      <c r="F8" s="8">
        <v>45000</v>
      </c>
    </row>
    <row r="9" spans="2:7" x14ac:dyDescent="0.2">
      <c r="B9" s="15">
        <v>5</v>
      </c>
      <c r="C9" s="6" t="s">
        <v>8</v>
      </c>
      <c r="D9" s="7" t="s">
        <v>89</v>
      </c>
      <c r="E9" s="6" t="s">
        <v>9</v>
      </c>
      <c r="F9" s="8">
        <v>78810</v>
      </c>
    </row>
    <row r="10" spans="2:7" ht="28" x14ac:dyDescent="0.2">
      <c r="B10" s="15">
        <v>6</v>
      </c>
      <c r="C10" s="6" t="s">
        <v>10</v>
      </c>
      <c r="D10" s="7" t="s">
        <v>90</v>
      </c>
      <c r="E10" s="6" t="s">
        <v>11</v>
      </c>
      <c r="F10" s="8">
        <v>236818</v>
      </c>
    </row>
    <row r="11" spans="2:7" ht="28" x14ac:dyDescent="0.2">
      <c r="B11" s="15">
        <v>7</v>
      </c>
      <c r="C11" s="6" t="s">
        <v>12</v>
      </c>
      <c r="D11" s="7" t="s">
        <v>91</v>
      </c>
      <c r="E11" s="6" t="s">
        <v>11</v>
      </c>
      <c r="F11" s="8">
        <v>105650</v>
      </c>
    </row>
    <row r="12" spans="2:7" ht="28" x14ac:dyDescent="0.2">
      <c r="B12" s="15">
        <v>8</v>
      </c>
      <c r="C12" s="6" t="s">
        <v>13</v>
      </c>
      <c r="D12" s="7" t="s">
        <v>92</v>
      </c>
      <c r="E12" s="6" t="s">
        <v>11</v>
      </c>
      <c r="F12" s="8">
        <v>387780</v>
      </c>
    </row>
    <row r="13" spans="2:7" ht="28" x14ac:dyDescent="0.2">
      <c r="B13" s="15">
        <v>9</v>
      </c>
      <c r="C13" s="6" t="s">
        <v>14</v>
      </c>
      <c r="D13" s="7" t="s">
        <v>93</v>
      </c>
      <c r="E13" s="6" t="s">
        <v>15</v>
      </c>
      <c r="F13" s="8">
        <v>922203</v>
      </c>
    </row>
    <row r="14" spans="2:7" x14ac:dyDescent="0.2">
      <c r="B14" s="15">
        <v>10</v>
      </c>
      <c r="C14" s="6" t="s">
        <v>16</v>
      </c>
      <c r="D14" s="7" t="s">
        <v>94</v>
      </c>
      <c r="E14" s="6" t="s">
        <v>11</v>
      </c>
      <c r="F14" s="8">
        <v>894148</v>
      </c>
    </row>
    <row r="15" spans="2:7" ht="70" x14ac:dyDescent="0.2">
      <c r="B15" s="15">
        <v>11</v>
      </c>
      <c r="C15" s="6" t="s">
        <v>17</v>
      </c>
      <c r="D15" s="7" t="s">
        <v>95</v>
      </c>
      <c r="E15" s="6" t="s">
        <v>18</v>
      </c>
      <c r="F15" s="8">
        <v>28300</v>
      </c>
    </row>
    <row r="16" spans="2:7" ht="28" x14ac:dyDescent="0.2">
      <c r="B16" s="15">
        <v>12</v>
      </c>
      <c r="C16" s="6" t="s">
        <v>19</v>
      </c>
      <c r="D16" s="7" t="s">
        <v>96</v>
      </c>
      <c r="E16" s="6" t="s">
        <v>20</v>
      </c>
      <c r="F16" s="8">
        <v>2849480</v>
      </c>
    </row>
    <row r="17" spans="2:6" ht="28" x14ac:dyDescent="0.2">
      <c r="B17" s="15">
        <v>13</v>
      </c>
      <c r="C17" s="6" t="s">
        <v>21</v>
      </c>
      <c r="D17" s="7" t="s">
        <v>97</v>
      </c>
      <c r="E17" s="6" t="s">
        <v>22</v>
      </c>
      <c r="F17" s="8">
        <v>339918</v>
      </c>
    </row>
    <row r="18" spans="2:6" ht="42" x14ac:dyDescent="0.2">
      <c r="B18" s="15">
        <v>14</v>
      </c>
      <c r="C18" s="6" t="s">
        <v>23</v>
      </c>
      <c r="D18" s="7" t="s">
        <v>98</v>
      </c>
      <c r="E18" s="6" t="s">
        <v>22</v>
      </c>
      <c r="F18" s="8">
        <v>321807</v>
      </c>
    </row>
    <row r="19" spans="2:6" ht="28" x14ac:dyDescent="0.2">
      <c r="B19" s="15">
        <v>15</v>
      </c>
      <c r="C19" s="6" t="s">
        <v>24</v>
      </c>
      <c r="D19" s="7" t="s">
        <v>99</v>
      </c>
      <c r="E19" s="6" t="s">
        <v>20</v>
      </c>
      <c r="F19" s="8">
        <v>852983</v>
      </c>
    </row>
    <row r="20" spans="2:6" ht="42" x14ac:dyDescent="0.2">
      <c r="B20" s="15">
        <v>16</v>
      </c>
      <c r="C20" s="6" t="s">
        <v>25</v>
      </c>
      <c r="D20" s="7" t="s">
        <v>100</v>
      </c>
      <c r="E20" s="6" t="s">
        <v>22</v>
      </c>
      <c r="F20" s="8">
        <v>162840</v>
      </c>
    </row>
    <row r="21" spans="2:6" x14ac:dyDescent="0.2">
      <c r="B21" s="15">
        <v>17</v>
      </c>
      <c r="C21" s="6" t="s">
        <v>26</v>
      </c>
      <c r="D21" s="9" t="s">
        <v>101</v>
      </c>
      <c r="E21" s="10" t="s">
        <v>20</v>
      </c>
      <c r="F21" s="11">
        <v>50749</v>
      </c>
    </row>
    <row r="22" spans="2:6" ht="42" x14ac:dyDescent="0.2">
      <c r="B22" s="15">
        <v>18</v>
      </c>
      <c r="C22" s="6" t="s">
        <v>27</v>
      </c>
      <c r="D22" s="7" t="s">
        <v>102</v>
      </c>
      <c r="E22" s="6" t="s">
        <v>22</v>
      </c>
      <c r="F22" s="8">
        <v>171922</v>
      </c>
    </row>
    <row r="23" spans="2:6" ht="70" x14ac:dyDescent="0.2">
      <c r="B23" s="15">
        <v>19</v>
      </c>
      <c r="C23" s="12" t="s">
        <v>28</v>
      </c>
      <c r="D23" s="7" t="s">
        <v>102</v>
      </c>
      <c r="E23" s="6" t="s">
        <v>29</v>
      </c>
      <c r="F23" s="8">
        <v>224024</v>
      </c>
    </row>
    <row r="24" spans="2:6" x14ac:dyDescent="0.2">
      <c r="B24" s="15">
        <v>20</v>
      </c>
      <c r="C24" s="6" t="s">
        <v>30</v>
      </c>
      <c r="D24" s="7" t="s">
        <v>103</v>
      </c>
      <c r="E24" s="6" t="s">
        <v>20</v>
      </c>
      <c r="F24" s="8">
        <v>129585</v>
      </c>
    </row>
    <row r="25" spans="2:6" x14ac:dyDescent="0.2">
      <c r="B25" s="15">
        <v>21</v>
      </c>
      <c r="C25" s="10" t="s">
        <v>31</v>
      </c>
      <c r="D25" s="7" t="s">
        <v>104</v>
      </c>
      <c r="E25" s="10" t="s">
        <v>20</v>
      </c>
      <c r="F25" s="11">
        <v>33075</v>
      </c>
    </row>
    <row r="26" spans="2:6" ht="42" x14ac:dyDescent="0.2">
      <c r="B26" s="15">
        <v>22</v>
      </c>
      <c r="C26" s="6" t="s">
        <v>32</v>
      </c>
      <c r="D26" s="7" t="s">
        <v>84</v>
      </c>
      <c r="E26" s="6" t="s">
        <v>22</v>
      </c>
      <c r="F26" s="8">
        <v>46197.9</v>
      </c>
    </row>
    <row r="27" spans="2:6" ht="42" x14ac:dyDescent="0.2">
      <c r="B27" s="15">
        <v>23</v>
      </c>
      <c r="C27" s="6" t="s">
        <v>33</v>
      </c>
      <c r="D27" s="7" t="s">
        <v>105</v>
      </c>
      <c r="E27" s="6" t="s">
        <v>34</v>
      </c>
      <c r="F27" s="8">
        <v>113431.5</v>
      </c>
    </row>
    <row r="28" spans="2:6" x14ac:dyDescent="0.2">
      <c r="B28" s="15">
        <v>24</v>
      </c>
      <c r="C28" s="6" t="s">
        <v>35</v>
      </c>
      <c r="D28" s="7" t="s">
        <v>106</v>
      </c>
      <c r="E28" s="6" t="s">
        <v>36</v>
      </c>
      <c r="F28" s="8">
        <v>358254.34</v>
      </c>
    </row>
    <row r="29" spans="2:6" x14ac:dyDescent="0.2">
      <c r="B29" s="15">
        <v>25</v>
      </c>
      <c r="C29" s="6" t="s">
        <v>37</v>
      </c>
      <c r="D29" s="7" t="s">
        <v>107</v>
      </c>
      <c r="E29" s="6" t="s">
        <v>38</v>
      </c>
      <c r="F29" s="8">
        <v>160966.92000000001</v>
      </c>
    </row>
    <row r="30" spans="2:6" x14ac:dyDescent="0.2">
      <c r="B30" s="15">
        <v>26</v>
      </c>
      <c r="C30" s="6" t="s">
        <v>39</v>
      </c>
      <c r="D30" s="7" t="s">
        <v>108</v>
      </c>
      <c r="E30" s="6" t="s">
        <v>40</v>
      </c>
      <c r="F30" s="8">
        <v>267790</v>
      </c>
    </row>
    <row r="31" spans="2:6" ht="28" x14ac:dyDescent="0.2">
      <c r="B31" s="15">
        <v>27</v>
      </c>
      <c r="C31" s="6" t="s">
        <v>41</v>
      </c>
      <c r="D31" s="7" t="s">
        <v>109</v>
      </c>
      <c r="E31" s="6" t="s">
        <v>40</v>
      </c>
      <c r="F31" s="8">
        <v>3503293</v>
      </c>
    </row>
    <row r="32" spans="2:6" ht="28" x14ac:dyDescent="0.2">
      <c r="B32" s="15">
        <v>28</v>
      </c>
      <c r="C32" s="6" t="s">
        <v>42</v>
      </c>
      <c r="D32" s="7" t="s">
        <v>43</v>
      </c>
      <c r="E32" s="6" t="s">
        <v>20</v>
      </c>
      <c r="F32" s="8">
        <v>44981.68</v>
      </c>
    </row>
    <row r="33" spans="2:6" ht="28" x14ac:dyDescent="0.2">
      <c r="B33" s="15">
        <v>29</v>
      </c>
      <c r="C33" s="6" t="s">
        <v>44</v>
      </c>
      <c r="D33" s="7" t="s">
        <v>45</v>
      </c>
      <c r="E33" s="6" t="s">
        <v>46</v>
      </c>
      <c r="F33" s="8">
        <v>155759</v>
      </c>
    </row>
    <row r="34" spans="2:6" ht="42" x14ac:dyDescent="0.2">
      <c r="B34" s="15">
        <v>30</v>
      </c>
      <c r="C34" s="6" t="s">
        <v>47</v>
      </c>
      <c r="D34" s="7" t="s">
        <v>48</v>
      </c>
      <c r="E34" s="6" t="s">
        <v>49</v>
      </c>
      <c r="F34" s="8">
        <v>53210</v>
      </c>
    </row>
    <row r="35" spans="2:6" ht="70" x14ac:dyDescent="0.2">
      <c r="B35" s="15">
        <v>31</v>
      </c>
      <c r="C35" s="6" t="s">
        <v>50</v>
      </c>
      <c r="D35" s="7" t="s">
        <v>51</v>
      </c>
      <c r="E35" s="6" t="s">
        <v>52</v>
      </c>
      <c r="F35" s="8">
        <v>74092.899999999994</v>
      </c>
    </row>
    <row r="36" spans="2:6" ht="42" x14ac:dyDescent="0.2">
      <c r="B36" s="15">
        <v>32</v>
      </c>
      <c r="C36" s="6" t="s">
        <v>53</v>
      </c>
      <c r="D36" s="7" t="s">
        <v>54</v>
      </c>
      <c r="E36" s="6" t="s">
        <v>55</v>
      </c>
      <c r="F36" s="8">
        <v>152401.25</v>
      </c>
    </row>
    <row r="37" spans="2:6" ht="28" x14ac:dyDescent="0.2">
      <c r="B37" s="15">
        <v>33</v>
      </c>
      <c r="C37" s="6" t="s">
        <v>56</v>
      </c>
      <c r="D37" s="7" t="s">
        <v>57</v>
      </c>
      <c r="E37" s="6" t="s">
        <v>46</v>
      </c>
      <c r="F37" s="8">
        <v>452965.66</v>
      </c>
    </row>
    <row r="38" spans="2:6" ht="56" x14ac:dyDescent="0.2">
      <c r="B38" s="15">
        <v>34</v>
      </c>
      <c r="C38" s="6" t="s">
        <v>58</v>
      </c>
      <c r="D38" s="7" t="s">
        <v>59</v>
      </c>
      <c r="E38" s="6" t="s">
        <v>60</v>
      </c>
      <c r="F38" s="13">
        <v>446715</v>
      </c>
    </row>
    <row r="39" spans="2:6" x14ac:dyDescent="0.2">
      <c r="B39" s="15">
        <v>35</v>
      </c>
      <c r="C39" s="6" t="s">
        <v>61</v>
      </c>
      <c r="D39" s="7" t="s">
        <v>62</v>
      </c>
      <c r="E39" s="6" t="s">
        <v>63</v>
      </c>
      <c r="F39" s="13">
        <v>416771.44</v>
      </c>
    </row>
    <row r="40" spans="2:6" x14ac:dyDescent="0.2">
      <c r="B40" s="15">
        <v>36</v>
      </c>
      <c r="C40" s="6" t="s">
        <v>64</v>
      </c>
      <c r="D40" s="7" t="s">
        <v>65</v>
      </c>
      <c r="E40" s="6" t="s">
        <v>66</v>
      </c>
      <c r="F40" s="13">
        <v>2284365.25</v>
      </c>
    </row>
    <row r="41" spans="2:6" ht="42" x14ac:dyDescent="0.2">
      <c r="B41" s="15">
        <v>37</v>
      </c>
      <c r="C41" s="6" t="s">
        <v>67</v>
      </c>
      <c r="D41" s="7" t="s">
        <v>68</v>
      </c>
      <c r="E41" s="6" t="s">
        <v>69</v>
      </c>
      <c r="F41" s="13">
        <v>59186</v>
      </c>
    </row>
    <row r="42" spans="2:6" ht="56" x14ac:dyDescent="0.2">
      <c r="B42" s="15">
        <v>38</v>
      </c>
      <c r="C42" s="6" t="s">
        <v>70</v>
      </c>
      <c r="D42" s="7" t="s">
        <v>71</v>
      </c>
      <c r="E42" s="6" t="s">
        <v>72</v>
      </c>
      <c r="F42" s="13">
        <v>30585</v>
      </c>
    </row>
    <row r="43" spans="2:6" ht="56" x14ac:dyDescent="0.2">
      <c r="B43" s="15">
        <v>39</v>
      </c>
      <c r="C43" s="6" t="s">
        <v>73</v>
      </c>
      <c r="D43" s="7" t="s">
        <v>74</v>
      </c>
      <c r="E43" s="6" t="s">
        <v>75</v>
      </c>
      <c r="F43" s="13">
        <v>35125</v>
      </c>
    </row>
    <row r="44" spans="2:6" x14ac:dyDescent="0.2">
      <c r="B44" s="15">
        <v>40</v>
      </c>
      <c r="C44" s="6" t="s">
        <v>76</v>
      </c>
      <c r="D44" s="7" t="s">
        <v>77</v>
      </c>
      <c r="E44" s="6" t="s">
        <v>78</v>
      </c>
      <c r="F44" s="13">
        <v>107642</v>
      </c>
    </row>
    <row r="45" spans="2:6" ht="42" x14ac:dyDescent="0.2">
      <c r="B45" s="15">
        <v>41</v>
      </c>
      <c r="C45" s="6" t="s">
        <v>79</v>
      </c>
      <c r="D45" s="7" t="s">
        <v>80</v>
      </c>
      <c r="E45" s="6" t="s">
        <v>81</v>
      </c>
      <c r="F45" s="13">
        <v>223107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5EBE-1F63-BB49-8B32-69EC26DB0152}">
  <dimension ref="A3:D40"/>
  <sheetViews>
    <sheetView showGridLines="0" topLeftCell="A4" zoomScale="90" zoomScaleNormal="90" workbookViewId="0">
      <selection activeCell="B31" sqref="B31"/>
    </sheetView>
  </sheetViews>
  <sheetFormatPr baseColWidth="10" defaultRowHeight="16" x14ac:dyDescent="0.2"/>
  <cols>
    <col min="1" max="1" width="66" customWidth="1"/>
    <col min="2" max="2" width="61.6640625" customWidth="1"/>
    <col min="3" max="3" width="58.83203125" customWidth="1"/>
    <col min="4" max="4" width="56.83203125" customWidth="1"/>
  </cols>
  <sheetData>
    <row r="3" spans="1:4" ht="20" x14ac:dyDescent="0.2">
      <c r="A3" s="18" t="s">
        <v>111</v>
      </c>
      <c r="B3" s="18" t="s">
        <v>122</v>
      </c>
      <c r="C3" s="18" t="s">
        <v>133</v>
      </c>
      <c r="D3" s="18" t="s">
        <v>139</v>
      </c>
    </row>
    <row r="4" spans="1:4" x14ac:dyDescent="0.2">
      <c r="A4" s="19"/>
      <c r="B4" s="19"/>
      <c r="C4" s="19"/>
      <c r="D4" s="19"/>
    </row>
    <row r="5" spans="1:4" ht="20" x14ac:dyDescent="0.2">
      <c r="A5" s="20" t="s">
        <v>112</v>
      </c>
      <c r="B5" s="20" t="s">
        <v>112</v>
      </c>
      <c r="C5" s="20" t="s">
        <v>112</v>
      </c>
      <c r="D5" s="20" t="s">
        <v>112</v>
      </c>
    </row>
    <row r="6" spans="1:4" ht="20" x14ac:dyDescent="0.2">
      <c r="A6" s="21" t="s">
        <v>113</v>
      </c>
      <c r="B6" s="21" t="s">
        <v>123</v>
      </c>
      <c r="C6" s="21" t="s">
        <v>134</v>
      </c>
      <c r="D6" s="21" t="s">
        <v>140</v>
      </c>
    </row>
    <row r="7" spans="1:4" ht="20" x14ac:dyDescent="0.2">
      <c r="A7" s="20" t="s">
        <v>114</v>
      </c>
      <c r="B7" s="21" t="s">
        <v>124</v>
      </c>
      <c r="C7" s="20" t="s">
        <v>114</v>
      </c>
      <c r="D7" s="20" t="s">
        <v>114</v>
      </c>
    </row>
    <row r="8" spans="1:4" ht="20" x14ac:dyDescent="0.2">
      <c r="A8" s="21" t="s">
        <v>115</v>
      </c>
      <c r="B8" s="20" t="s">
        <v>114</v>
      </c>
      <c r="C8" s="21" t="s">
        <v>135</v>
      </c>
      <c r="D8" s="21" t="s">
        <v>141</v>
      </c>
    </row>
    <row r="9" spans="1:4" ht="20" x14ac:dyDescent="0.2">
      <c r="A9" s="20" t="s">
        <v>116</v>
      </c>
      <c r="B9" s="21" t="s">
        <v>125</v>
      </c>
      <c r="C9" s="20" t="s">
        <v>116</v>
      </c>
      <c r="D9" s="20" t="s">
        <v>116</v>
      </c>
    </row>
    <row r="10" spans="1:4" ht="20" x14ac:dyDescent="0.2">
      <c r="A10" s="21" t="s">
        <v>117</v>
      </c>
      <c r="B10" s="21" t="s">
        <v>126</v>
      </c>
      <c r="C10" s="21" t="s">
        <v>136</v>
      </c>
      <c r="D10" s="21" t="s">
        <v>142</v>
      </c>
    </row>
    <row r="11" spans="1:4" ht="20" x14ac:dyDescent="0.2">
      <c r="A11" s="20" t="s">
        <v>118</v>
      </c>
      <c r="B11" s="20" t="s">
        <v>116</v>
      </c>
      <c r="C11" s="20" t="s">
        <v>118</v>
      </c>
      <c r="D11" s="20" t="s">
        <v>118</v>
      </c>
    </row>
    <row r="12" spans="1:4" ht="20" x14ac:dyDescent="0.2">
      <c r="A12" s="21" t="s">
        <v>119</v>
      </c>
      <c r="B12" s="21" t="s">
        <v>127</v>
      </c>
      <c r="C12" s="21" t="s">
        <v>137</v>
      </c>
      <c r="D12" s="21" t="s">
        <v>143</v>
      </c>
    </row>
    <row r="13" spans="1:4" ht="20" x14ac:dyDescent="0.2">
      <c r="A13" s="20" t="s">
        <v>120</v>
      </c>
      <c r="B13" s="21" t="s">
        <v>128</v>
      </c>
      <c r="C13" s="20" t="s">
        <v>120</v>
      </c>
      <c r="D13" s="20" t="s">
        <v>120</v>
      </c>
    </row>
    <row r="14" spans="1:4" ht="20" x14ac:dyDescent="0.2">
      <c r="A14" s="21" t="s">
        <v>121</v>
      </c>
      <c r="B14" s="20" t="s">
        <v>118</v>
      </c>
      <c r="C14" s="21" t="s">
        <v>138</v>
      </c>
      <c r="D14" s="21" t="s">
        <v>144</v>
      </c>
    </row>
    <row r="15" spans="1:4" ht="20" x14ac:dyDescent="0.2">
      <c r="A15" s="19"/>
      <c r="B15" s="21" t="s">
        <v>129</v>
      </c>
      <c r="C15" s="19"/>
      <c r="D15" s="19"/>
    </row>
    <row r="16" spans="1:4" ht="20" x14ac:dyDescent="0.2">
      <c r="A16" s="19"/>
      <c r="B16" s="21" t="s">
        <v>130</v>
      </c>
      <c r="C16" s="19"/>
      <c r="D16" s="19"/>
    </row>
    <row r="17" spans="1:4" ht="20" x14ac:dyDescent="0.2">
      <c r="A17" s="19"/>
      <c r="B17" s="20" t="s">
        <v>120</v>
      </c>
      <c r="C17" s="19"/>
      <c r="D17" s="19"/>
    </row>
    <row r="18" spans="1:4" ht="20" x14ac:dyDescent="0.2">
      <c r="A18" s="19"/>
      <c r="B18" s="21" t="s">
        <v>131</v>
      </c>
      <c r="C18" s="19"/>
      <c r="D18" s="19"/>
    </row>
    <row r="19" spans="1:4" ht="20" x14ac:dyDescent="0.2">
      <c r="A19" s="19"/>
      <c r="B19" s="21" t="s">
        <v>132</v>
      </c>
      <c r="C19" s="19"/>
      <c r="D19" s="19"/>
    </row>
    <row r="29" spans="1:4" ht="31" x14ac:dyDescent="0.2">
      <c r="A29" s="22" t="s">
        <v>112</v>
      </c>
      <c r="B29" s="24" t="s">
        <v>147</v>
      </c>
      <c r="C29" s="23" t="s">
        <v>145</v>
      </c>
      <c r="D29" s="23" t="s">
        <v>146</v>
      </c>
    </row>
    <row r="31" spans="1:4" ht="31" x14ac:dyDescent="0.2">
      <c r="A31" s="22" t="s">
        <v>114</v>
      </c>
      <c r="B31" s="24" t="s">
        <v>150</v>
      </c>
      <c r="C31" s="23" t="s">
        <v>148</v>
      </c>
      <c r="D31" s="23" t="s">
        <v>149</v>
      </c>
    </row>
    <row r="32" spans="1:4" x14ac:dyDescent="0.2">
      <c r="A32" s="23"/>
      <c r="B32" s="23"/>
      <c r="C32" s="23"/>
    </row>
    <row r="33" spans="1:4" ht="31" x14ac:dyDescent="0.2">
      <c r="A33" s="22" t="s">
        <v>116</v>
      </c>
      <c r="B33" s="24" t="s">
        <v>156</v>
      </c>
      <c r="C33" s="23" t="s">
        <v>151</v>
      </c>
      <c r="D33" s="23" t="s">
        <v>152</v>
      </c>
    </row>
    <row r="34" spans="1:4" x14ac:dyDescent="0.2">
      <c r="A34" s="23"/>
      <c r="B34" s="23"/>
      <c r="C34" s="23"/>
    </row>
    <row r="36" spans="1:4" ht="31" x14ac:dyDescent="0.2">
      <c r="A36" s="22" t="s">
        <v>118</v>
      </c>
      <c r="B36" s="24" t="s">
        <v>157</v>
      </c>
      <c r="C36" s="23" t="s">
        <v>153</v>
      </c>
      <c r="D36" s="23" t="s">
        <v>154</v>
      </c>
    </row>
    <row r="37" spans="1:4" x14ac:dyDescent="0.2">
      <c r="A37" s="23"/>
      <c r="B37" s="23"/>
      <c r="C37" s="23"/>
    </row>
    <row r="39" spans="1:4" ht="31" x14ac:dyDescent="0.2">
      <c r="A39" s="22" t="s">
        <v>120</v>
      </c>
      <c r="B39" s="24" t="s">
        <v>158</v>
      </c>
      <c r="C39" s="24" t="s">
        <v>159</v>
      </c>
      <c r="D39" s="23" t="s">
        <v>155</v>
      </c>
    </row>
    <row r="40" spans="1:4" x14ac:dyDescent="0.2">
      <c r="B40" s="23"/>
      <c r="C4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MD</cp:lastModifiedBy>
  <dcterms:created xsi:type="dcterms:W3CDTF">2023-03-31T22:15:11Z</dcterms:created>
  <dcterms:modified xsi:type="dcterms:W3CDTF">2023-12-04T06:21:01Z</dcterms:modified>
</cp:coreProperties>
</file>